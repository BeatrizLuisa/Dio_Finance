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0ab836e86ec860/Área de Trabalho/Excel/"/>
    </mc:Choice>
  </mc:AlternateContent>
  <xr:revisionPtr revIDLastSave="399" documentId="8_{DA8288FA-965A-4E9E-9EF0-934FE9D87010}" xr6:coauthVersionLast="47" xr6:coauthVersionMax="47" xr10:uidLastSave="{6B7F5EBD-2421-4980-A0DB-29D05F59E231}"/>
  <bookViews>
    <workbookView xWindow="-120" yWindow="-120" windowWidth="20730" windowHeight="11160" xr2:uid="{AF5628B0-CFC9-4783-AFF3-847508AFEAC6}"/>
  </bookViews>
  <sheets>
    <sheet name="DIO_FINANCE" sheetId="1" r:id="rId1"/>
    <sheet name="TAB_APOIO" sheetId="2" r:id="rId2"/>
  </sheets>
  <definedNames>
    <definedName name="aporte">DIO_FINANCE!$D$20</definedName>
    <definedName name="patrimonio">DIO_FINANCE!$D$23</definedName>
    <definedName name="periodo">DIO_FINANCE!$D$21</definedName>
    <definedName name="rendimento_carteira">DIO_FINANCE!$D$16</definedName>
    <definedName name="salario">DIO_FINANCE!$D$15</definedName>
    <definedName name="sugest_invest">DIO_FINANCE!$D$17</definedName>
    <definedName name="taxa_mensal">DIO_FINANCE!$D$22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D41" i="1" s="1"/>
  <c r="C42" i="1"/>
  <c r="D42" i="1" s="1"/>
  <c r="C37" i="1"/>
  <c r="D37" i="1" s="1"/>
  <c r="A16" i="2"/>
  <c r="A17" i="2"/>
  <c r="A18" i="2"/>
  <c r="A19" i="2"/>
  <c r="A20" i="2"/>
  <c r="A21" i="2"/>
  <c r="A11" i="2"/>
  <c r="A12" i="2"/>
  <c r="A13" i="2"/>
  <c r="A14" i="2"/>
  <c r="A15" i="2"/>
  <c r="A10" i="2"/>
  <c r="A5" i="2"/>
  <c r="A6" i="2"/>
  <c r="A7" i="2"/>
  <c r="A8" i="2"/>
  <c r="A9" i="2"/>
  <c r="A4" i="2"/>
  <c r="C34" i="1"/>
  <c r="D38" i="1" s="1"/>
  <c r="D23" i="1"/>
  <c r="D24" i="1" s="1"/>
  <c r="D17" i="1"/>
  <c r="C28" i="1"/>
  <c r="D28" i="1" s="1"/>
  <c r="C29" i="1"/>
  <c r="D29" i="1" s="1"/>
  <c r="C30" i="1"/>
  <c r="D30" i="1" s="1"/>
  <c r="C31" i="1"/>
  <c r="D31" i="1" s="1"/>
  <c r="C27" i="1"/>
  <c r="D27" i="1" s="1"/>
  <c r="D40" i="1" l="1"/>
  <c r="D39" i="1"/>
  <c r="D43" i="1" s="1"/>
</calcChain>
</file>

<file path=xl/sharedStrings.xml><?xml version="1.0" encoding="utf-8"?>
<sst xmlns="http://schemas.openxmlformats.org/spreadsheetml/2006/main" count="69" uniqueCount="34">
  <si>
    <t>INVESTIMENTO MENSAL</t>
  </si>
  <si>
    <t>Taxa de Rendimento Mensal?</t>
  </si>
  <si>
    <t>Patrimônio Acumulado?</t>
  </si>
  <si>
    <t>Dividendos Mensais?</t>
  </si>
  <si>
    <t>Por Quantos Anos?</t>
  </si>
  <si>
    <t>Quanto Investir Por Mês?</t>
  </si>
  <si>
    <t>Quanto em 2 Anos?</t>
  </si>
  <si>
    <t>CENÁRIOS</t>
  </si>
  <si>
    <t>Quanto em 5 Anos?</t>
  </si>
  <si>
    <t>Quanto em 10 Anos?</t>
  </si>
  <si>
    <t>Quanto em 20 Anos?</t>
  </si>
  <si>
    <t>Quanto em 30 Anos?</t>
  </si>
  <si>
    <t>DIVIDENDO</t>
  </si>
  <si>
    <t>CONFIGURAÇÕES</t>
  </si>
  <si>
    <t>Salário</t>
  </si>
  <si>
    <t>Rendimento Carteira</t>
  </si>
  <si>
    <t>Sugestão de Investimento</t>
  </si>
  <si>
    <t>PERFIL</t>
  </si>
  <si>
    <t>AGRESSIVO</t>
  </si>
  <si>
    <t>Valor a ser investido por mês</t>
  </si>
  <si>
    <t>TIPO DE FII</t>
  </si>
  <si>
    <t>Papel</t>
  </si>
  <si>
    <t>Tijolo</t>
  </si>
  <si>
    <t>Hibridos</t>
  </si>
  <si>
    <t>FOFs</t>
  </si>
  <si>
    <t>Desenvolvimento</t>
  </si>
  <si>
    <t>Hotelarias</t>
  </si>
  <si>
    <t>Conservador</t>
  </si>
  <si>
    <t>%</t>
  </si>
  <si>
    <t>CHAVE</t>
  </si>
  <si>
    <t>Moderado</t>
  </si>
  <si>
    <t>Agressivo</t>
  </si>
  <si>
    <t>PERCENTUAL SUGERIDO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</si>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</sst>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8" tint="-0.249977111117893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b/>
      <sz val="16"/>
      <color rgb="FFB889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b/>
      <sz val="16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E8C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1"/>
        <bgColor indexed="64"/>
      </patternFill>
    </fill>
  </fills>
  <borders count="61">
    <border>
      <left/>
      <right/>
      <top/>
      <bottom/>
      <diagonal/>
    </border>
    <border>
      <left style="medium">
        <color theme="8" tint="-0.24994659260841701"/>
      </left>
      <right style="medium">
        <color theme="2"/>
      </right>
      <top style="medium">
        <color theme="8" tint="-0.24994659260841701"/>
      </top>
      <bottom style="medium">
        <color theme="2"/>
      </bottom>
      <diagonal/>
    </border>
    <border>
      <left style="medium">
        <color theme="2"/>
      </left>
      <right style="medium">
        <color theme="8" tint="-0.24994659260841701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8" tint="-0.24994659260841701"/>
      </right>
      <top style="medium">
        <color theme="2"/>
      </top>
      <bottom style="medium">
        <color theme="8" tint="-0.24994659260841701"/>
      </bottom>
      <diagonal/>
    </border>
    <border>
      <left style="medium">
        <color theme="2"/>
      </left>
      <right/>
      <top style="medium">
        <color theme="8" tint="-0.24994659260841701"/>
      </top>
      <bottom style="medium">
        <color theme="2"/>
      </bottom>
      <diagonal/>
    </border>
    <border>
      <left/>
      <right/>
      <top style="medium">
        <color theme="8" tint="-0.24994659260841701"/>
      </top>
      <bottom style="medium">
        <color theme="2"/>
      </bottom>
      <diagonal/>
    </border>
    <border>
      <left style="medium">
        <color theme="8" tint="-0.249977111117893"/>
      </left>
      <right/>
      <top/>
      <bottom/>
      <diagonal/>
    </border>
    <border>
      <left/>
      <right/>
      <top style="medium">
        <color theme="8" tint="-0.249977111117893"/>
      </top>
      <bottom/>
      <diagonal/>
    </border>
    <border>
      <left/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 style="medium">
        <color theme="0" tint="-0.14996795556505021"/>
      </right>
      <top style="medium">
        <color theme="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8" tint="-0.249977111117893"/>
      </right>
      <top style="medium">
        <color theme="2"/>
      </top>
      <bottom style="medium">
        <color theme="0" tint="-0.14996795556505021"/>
      </bottom>
      <diagonal/>
    </border>
    <border>
      <left style="medium">
        <color theme="8" tint="-0.249977111117893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8" tint="-0.249977111117893"/>
      </left>
      <right style="medium">
        <color theme="0" tint="-0.14996795556505021"/>
      </right>
      <top style="medium">
        <color theme="0" tint="-0.14996795556505021"/>
      </top>
      <bottom style="medium">
        <color theme="8" tint="-0.249977111117893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8" tint="-0.249977111117893"/>
      </bottom>
      <diagonal/>
    </border>
    <border>
      <left style="medium">
        <color theme="0" tint="-0.14996795556505021"/>
      </left>
      <right style="medium">
        <color theme="8" tint="-0.249977111117893"/>
      </right>
      <top style="medium">
        <color theme="2"/>
      </top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 style="medium">
        <color theme="8" tint="-0.24994659260841701"/>
      </left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 style="medium">
        <color theme="8" tint="-0.24994659260841701"/>
      </left>
      <right/>
      <top style="medium">
        <color theme="2"/>
      </top>
      <bottom style="medium">
        <color theme="2"/>
      </bottom>
      <diagonal/>
    </border>
    <border>
      <left/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8" tint="-0.24994659260841701"/>
      </left>
      <right/>
      <top style="medium">
        <color theme="2"/>
      </top>
      <bottom style="medium">
        <color theme="8" tint="-0.24994659260841701"/>
      </bottom>
      <diagonal/>
    </border>
    <border>
      <left/>
      <right style="medium">
        <color theme="2"/>
      </right>
      <top style="medium">
        <color theme="2"/>
      </top>
      <bottom style="medium">
        <color theme="8" tint="-0.24994659260841701"/>
      </bottom>
      <diagonal/>
    </border>
    <border>
      <left style="medium">
        <color rgb="FFB88900"/>
      </left>
      <right/>
      <top style="medium">
        <color rgb="FFB88900"/>
      </top>
      <bottom/>
      <diagonal/>
    </border>
    <border>
      <left style="medium">
        <color rgb="FFB88900"/>
      </left>
      <right/>
      <top/>
      <bottom style="medium">
        <color theme="2"/>
      </bottom>
      <diagonal/>
    </border>
    <border>
      <left/>
      <right style="thin">
        <color theme="0" tint="-0.14996795556505021"/>
      </right>
      <top/>
      <bottom style="medium">
        <color theme="2"/>
      </bottom>
      <diagonal/>
    </border>
    <border>
      <left style="medium">
        <color rgb="FFB88900"/>
      </left>
      <right/>
      <top style="medium">
        <color theme="2"/>
      </top>
      <bottom style="medium">
        <color theme="2"/>
      </bottom>
      <diagonal/>
    </border>
    <border>
      <left/>
      <right style="thin">
        <color theme="0" tint="-0.14996795556505021"/>
      </right>
      <top style="medium">
        <color theme="2"/>
      </top>
      <bottom style="medium">
        <color theme="2"/>
      </bottom>
      <diagonal/>
    </border>
    <border>
      <left style="medium">
        <color rgb="FFB88900"/>
      </left>
      <right/>
      <top style="medium">
        <color theme="2"/>
      </top>
      <bottom style="medium">
        <color rgb="FFB88900"/>
      </bottom>
      <diagonal/>
    </border>
    <border>
      <left/>
      <right style="thin">
        <color theme="0" tint="-0.14996795556505021"/>
      </right>
      <top style="medium">
        <color theme="2"/>
      </top>
      <bottom style="medium">
        <color rgb="FFB88900"/>
      </bottom>
      <diagonal/>
    </border>
    <border>
      <left/>
      <right style="medium">
        <color rgb="FFB88900"/>
      </right>
      <top style="medium">
        <color rgb="FFB88900"/>
      </top>
      <bottom/>
      <diagonal/>
    </border>
    <border>
      <left/>
      <right/>
      <top style="medium">
        <color rgb="FFB88900"/>
      </top>
      <bottom/>
      <diagonal/>
    </border>
    <border>
      <left/>
      <right style="medium">
        <color theme="8" tint="-0.24994659260841701"/>
      </right>
      <top style="medium">
        <color theme="8" tint="-0.24994659260841701"/>
      </top>
      <bottom style="medium">
        <color theme="2"/>
      </bottom>
      <diagonal/>
    </border>
    <border>
      <left/>
      <right/>
      <top style="medium">
        <color theme="8" tint="-0.24994659260841701"/>
      </top>
      <bottom/>
      <diagonal/>
    </border>
    <border>
      <left style="thin">
        <color theme="0" tint="-0.14996795556505021"/>
      </left>
      <right style="medium">
        <color rgb="FFB88900"/>
      </right>
      <top/>
      <bottom style="medium">
        <color theme="0" tint="-0.14993743705557422"/>
      </bottom>
      <diagonal/>
    </border>
    <border>
      <left style="thin">
        <color theme="0" tint="-0.14996795556505021"/>
      </left>
      <right style="medium">
        <color rgb="FFB88900"/>
      </right>
      <top style="medium">
        <color theme="0" tint="-0.14993743705557422"/>
      </top>
      <bottom style="medium">
        <color theme="0" tint="-0.14993743705557422"/>
      </bottom>
      <diagonal/>
    </border>
    <border>
      <left style="thin">
        <color theme="0" tint="-0.14996795556505021"/>
      </left>
      <right style="medium">
        <color rgb="FFB88900"/>
      </right>
      <top style="medium">
        <color theme="0" tint="-0.14993743705557422"/>
      </top>
      <bottom style="medium">
        <color rgb="FFB88900"/>
      </bottom>
      <diagonal/>
    </border>
    <border>
      <left/>
      <right/>
      <top/>
      <bottom style="medium">
        <color indexed="64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2" tint="-9.9948118533890809E-2"/>
      </bottom>
      <diagonal/>
    </border>
    <border>
      <left/>
      <right/>
      <top style="medium">
        <color theme="4" tint="-0.24994659260841701"/>
      </top>
      <bottom style="medium">
        <color theme="2" tint="-9.9948118533890809E-2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2" tint="-9.9948118533890809E-2"/>
      </bottom>
      <diagonal/>
    </border>
    <border>
      <left style="medium">
        <color theme="4" tint="-0.24994659260841701"/>
      </left>
      <right/>
      <top style="medium">
        <color theme="2" tint="-9.9948118533890809E-2"/>
      </top>
      <bottom style="medium">
        <color theme="4" tint="-0.24994659260841701"/>
      </bottom>
      <diagonal/>
    </border>
    <border>
      <left/>
      <right/>
      <top style="medium">
        <color theme="2" tint="-9.9948118533890809E-2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2" tint="-9.9948118533890809E-2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4" tint="-0.24994659260841701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79">
    <xf numFmtId="0" fontId="0" fillId="0" borderId="0" xfId="0"/>
    <xf numFmtId="0" fontId="6" fillId="0" borderId="2" xfId="0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8" fontId="7" fillId="3" borderId="2" xfId="0" applyNumberFormat="1" applyFont="1" applyFill="1" applyBorder="1" applyAlignment="1">
      <alignment horizontal="center" vertical="center"/>
    </xf>
    <xf numFmtId="8" fontId="7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8" fillId="0" borderId="0" xfId="0" applyFont="1" applyAlignment="1">
      <alignment vertical="center"/>
    </xf>
    <xf numFmtId="8" fontId="7" fillId="3" borderId="11" xfId="0" applyNumberFormat="1" applyFont="1" applyFill="1" applyBorder="1" applyAlignment="1">
      <alignment horizontal="center"/>
    </xf>
    <xf numFmtId="8" fontId="7" fillId="3" borderId="16" xfId="0" applyNumberFormat="1" applyFont="1" applyFill="1" applyBorder="1" applyAlignment="1">
      <alignment horizontal="center"/>
    </xf>
    <xf numFmtId="0" fontId="8" fillId="4" borderId="31" xfId="0" applyFont="1" applyFill="1" applyBorder="1" applyAlignment="1">
      <alignment vertical="center"/>
    </xf>
    <xf numFmtId="0" fontId="4" fillId="2" borderId="33" xfId="0" applyFont="1" applyFill="1" applyBorder="1" applyAlignment="1">
      <alignment vertical="center"/>
    </xf>
    <xf numFmtId="0" fontId="7" fillId="3" borderId="25" xfId="0" applyFont="1" applyFill="1" applyBorder="1" applyAlignment="1">
      <alignment horizontal="left" indent="1"/>
    </xf>
    <xf numFmtId="0" fontId="7" fillId="3" borderId="26" xfId="0" applyFont="1" applyFill="1" applyBorder="1" applyAlignment="1">
      <alignment horizontal="left" indent="1"/>
    </xf>
    <xf numFmtId="0" fontId="7" fillId="3" borderId="27" xfId="0" applyFont="1" applyFill="1" applyBorder="1" applyAlignment="1">
      <alignment horizontal="left" indent="1"/>
    </xf>
    <xf numFmtId="0" fontId="7" fillId="3" borderId="28" xfId="0" applyFont="1" applyFill="1" applyBorder="1" applyAlignment="1">
      <alignment horizontal="left" indent="1"/>
    </xf>
    <xf numFmtId="0" fontId="7" fillId="3" borderId="29" xfId="0" applyFont="1" applyFill="1" applyBorder="1" applyAlignment="1">
      <alignment horizontal="left" indent="1"/>
    </xf>
    <xf numFmtId="0" fontId="7" fillId="3" borderId="30" xfId="0" applyFont="1" applyFill="1" applyBorder="1" applyAlignment="1">
      <alignment horizontal="left" indent="1"/>
    </xf>
    <xf numFmtId="0" fontId="5" fillId="0" borderId="18" xfId="0" applyFont="1" applyBorder="1" applyAlignment="1">
      <alignment horizontal="left" indent="1"/>
    </xf>
    <xf numFmtId="0" fontId="5" fillId="0" borderId="19" xfId="0" applyFont="1" applyBorder="1" applyAlignment="1">
      <alignment horizontal="left" indent="1"/>
    </xf>
    <xf numFmtId="0" fontId="5" fillId="0" borderId="20" xfId="0" applyFont="1" applyBorder="1" applyAlignment="1">
      <alignment horizontal="left" indent="1"/>
    </xf>
    <xf numFmtId="0" fontId="5" fillId="0" borderId="21" xfId="0" applyFont="1" applyBorder="1" applyAlignment="1">
      <alignment horizontal="left" indent="1"/>
    </xf>
    <xf numFmtId="0" fontId="7" fillId="3" borderId="20" xfId="0" applyFont="1" applyFill="1" applyBorder="1" applyAlignment="1">
      <alignment horizontal="left" indent="1"/>
    </xf>
    <xf numFmtId="0" fontId="7" fillId="3" borderId="21" xfId="0" applyFont="1" applyFill="1" applyBorder="1" applyAlignment="1">
      <alignment horizontal="left" indent="1"/>
    </xf>
    <xf numFmtId="0" fontId="7" fillId="3" borderId="22" xfId="0" applyFont="1" applyFill="1" applyBorder="1" applyAlignment="1">
      <alignment horizontal="left" indent="1"/>
    </xf>
    <xf numFmtId="0" fontId="7" fillId="3" borderId="23" xfId="0" applyFont="1" applyFill="1" applyBorder="1" applyAlignment="1">
      <alignment horizontal="left" indent="1"/>
    </xf>
    <xf numFmtId="0" fontId="7" fillId="3" borderId="9" xfId="0" applyFont="1" applyFill="1" applyBorder="1" applyAlignment="1">
      <alignment horizontal="left" indent="1"/>
    </xf>
    <xf numFmtId="0" fontId="7" fillId="3" borderId="12" xfId="0" applyFont="1" applyFill="1" applyBorder="1" applyAlignment="1">
      <alignment horizontal="left" indent="1"/>
    </xf>
    <xf numFmtId="0" fontId="7" fillId="3" borderId="14" xfId="0" applyFont="1" applyFill="1" applyBorder="1" applyAlignment="1">
      <alignment horizontal="left" indent="1"/>
    </xf>
    <xf numFmtId="164" fontId="6" fillId="0" borderId="35" xfId="0" applyNumberFormat="1" applyFont="1" applyBorder="1" applyAlignment="1">
      <alignment horizontal="center" vertical="center"/>
    </xf>
    <xf numFmtId="10" fontId="6" fillId="0" borderId="36" xfId="0" applyNumberFormat="1" applyFont="1" applyBorder="1" applyAlignment="1">
      <alignment horizontal="center" vertical="center"/>
    </xf>
    <xf numFmtId="164" fontId="6" fillId="0" borderId="37" xfId="0" applyNumberFormat="1" applyFont="1" applyBorder="1" applyAlignment="1">
      <alignment horizontal="center" vertical="center"/>
    </xf>
    <xf numFmtId="8" fontId="7" fillId="3" borderId="10" xfId="0" applyNumberFormat="1" applyFont="1" applyFill="1" applyBorder="1" applyAlignment="1">
      <alignment horizontal="left" vertical="center" indent="1"/>
    </xf>
    <xf numFmtId="8" fontId="7" fillId="3" borderId="13" xfId="0" applyNumberFormat="1" applyFont="1" applyFill="1" applyBorder="1" applyAlignment="1">
      <alignment horizontal="left" vertical="center" indent="1"/>
    </xf>
    <xf numFmtId="8" fontId="7" fillId="3" borderId="15" xfId="0" applyNumberFormat="1" applyFont="1" applyFill="1" applyBorder="1" applyAlignment="1">
      <alignment horizontal="left" vertical="center" indent="1"/>
    </xf>
    <xf numFmtId="0" fontId="8" fillId="4" borderId="24" xfId="0" applyFont="1" applyFill="1" applyBorder="1" applyAlignment="1">
      <alignment horizontal="left" vertical="center" indent="1"/>
    </xf>
    <xf numFmtId="0" fontId="8" fillId="4" borderId="32" xfId="0" applyFont="1" applyFill="1" applyBorder="1" applyAlignment="1">
      <alignment horizontal="left" vertical="center" indent="1"/>
    </xf>
    <xf numFmtId="0" fontId="4" fillId="2" borderId="17" xfId="0" applyFont="1" applyFill="1" applyBorder="1" applyAlignment="1">
      <alignment horizontal="left" vertical="center" indent="1"/>
    </xf>
    <xf numFmtId="0" fontId="4" fillId="2" borderId="34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inden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0" fillId="0" borderId="38" xfId="0" applyBorder="1"/>
    <xf numFmtId="0" fontId="5" fillId="0" borderId="38" xfId="0" applyFont="1" applyBorder="1"/>
    <xf numFmtId="0" fontId="7" fillId="3" borderId="42" xfId="0" applyFont="1" applyFill="1" applyBorder="1" applyAlignment="1">
      <alignment horizontal="left" indent="1"/>
    </xf>
    <xf numFmtId="164" fontId="7" fillId="3" borderId="43" xfId="0" applyNumberFormat="1" applyFont="1" applyFill="1" applyBorder="1" applyAlignment="1">
      <alignment horizontal="center" vertical="center"/>
    </xf>
    <xf numFmtId="164" fontId="7" fillId="3" borderId="44" xfId="0" applyNumberFormat="1" applyFont="1" applyFill="1" applyBorder="1" applyAlignment="1">
      <alignment horizontal="center" vertical="center"/>
    </xf>
    <xf numFmtId="0" fontId="10" fillId="5" borderId="47" xfId="2" applyFont="1" applyBorder="1" applyAlignment="1">
      <alignment horizontal="center" vertical="center"/>
    </xf>
    <xf numFmtId="0" fontId="5" fillId="5" borderId="48" xfId="2" applyFont="1" applyBorder="1"/>
    <xf numFmtId="0" fontId="5" fillId="5" borderId="49" xfId="2" applyFont="1" applyBorder="1"/>
    <xf numFmtId="0" fontId="7" fillId="3" borderId="51" xfId="0" applyFont="1" applyFill="1" applyBorder="1" applyAlignment="1">
      <alignment horizontal="left" indent="1"/>
    </xf>
    <xf numFmtId="9" fontId="7" fillId="3" borderId="52" xfId="0" applyNumberFormat="1" applyFont="1" applyFill="1" applyBorder="1" applyAlignment="1">
      <alignment horizontal="right" indent="1"/>
    </xf>
    <xf numFmtId="164" fontId="7" fillId="3" borderId="53" xfId="0" applyNumberFormat="1" applyFont="1" applyFill="1" applyBorder="1" applyAlignment="1">
      <alignment horizontal="right" indent="1"/>
    </xf>
    <xf numFmtId="0" fontId="11" fillId="0" borderId="0" xfId="0" applyFont="1" applyAlignment="1">
      <alignment vertical="center"/>
    </xf>
    <xf numFmtId="0" fontId="11" fillId="5" borderId="39" xfId="2" applyFont="1" applyBorder="1" applyAlignment="1">
      <alignment horizontal="left" vertical="center"/>
    </xf>
    <xf numFmtId="0" fontId="11" fillId="5" borderId="40" xfId="2" applyFont="1" applyBorder="1" applyAlignment="1">
      <alignment horizontal="center" vertical="center"/>
    </xf>
    <xf numFmtId="0" fontId="11" fillId="5" borderId="41" xfId="2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5" borderId="45" xfId="2" applyFont="1" applyBorder="1" applyAlignment="1">
      <alignment horizontal="left" vertical="center"/>
    </xf>
    <xf numFmtId="0" fontId="11" fillId="5" borderId="46" xfId="2" applyFont="1" applyBorder="1" applyAlignment="1">
      <alignment horizontal="center" vertical="center"/>
    </xf>
    <xf numFmtId="164" fontId="10" fillId="5" borderId="50" xfId="2" applyNumberFormat="1" applyFont="1" applyBorder="1" applyAlignment="1">
      <alignment horizontal="right" indent="1"/>
    </xf>
    <xf numFmtId="0" fontId="9" fillId="6" borderId="54" xfId="0" applyFont="1" applyFill="1" applyBorder="1"/>
    <xf numFmtId="0" fontId="9" fillId="6" borderId="55" xfId="0" applyFont="1" applyFill="1" applyBorder="1"/>
    <xf numFmtId="0" fontId="9" fillId="6" borderId="56" xfId="0" applyFont="1" applyFill="1" applyBorder="1" applyAlignment="1">
      <alignment horizontal="center" vertical="center"/>
    </xf>
    <xf numFmtId="0" fontId="0" fillId="0" borderId="57" xfId="0" applyBorder="1"/>
    <xf numFmtId="0" fontId="0" fillId="0" borderId="0" xfId="0" applyBorder="1"/>
    <xf numFmtId="0" fontId="5" fillId="0" borderId="0" xfId="0" applyFont="1" applyBorder="1"/>
    <xf numFmtId="9" fontId="5" fillId="0" borderId="58" xfId="0" applyNumberFormat="1" applyFont="1" applyBorder="1" applyAlignment="1">
      <alignment horizontal="center" vertical="center"/>
    </xf>
    <xf numFmtId="0" fontId="0" fillId="0" borderId="59" xfId="0" applyBorder="1"/>
    <xf numFmtId="9" fontId="5" fillId="0" borderId="60" xfId="0" applyNumberFormat="1" applyFont="1" applyBorder="1" applyAlignment="1">
      <alignment horizontal="center" vertical="center"/>
    </xf>
    <xf numFmtId="9" fontId="0" fillId="0" borderId="58" xfId="0" applyNumberFormat="1" applyBorder="1" applyAlignment="1">
      <alignment horizontal="center" vertical="center"/>
    </xf>
    <xf numFmtId="9" fontId="5" fillId="0" borderId="58" xfId="0" applyNumberFormat="1" applyFont="1" applyFill="1" applyBorder="1" applyAlignment="1">
      <alignment horizontal="center" vertical="center"/>
    </xf>
    <xf numFmtId="9" fontId="0" fillId="0" borderId="60" xfId="0" applyNumberFormat="1" applyBorder="1" applyAlignment="1">
      <alignment horizontal="center" vertical="center"/>
    </xf>
  </cellXfs>
  <cellStyles count="3">
    <cellStyle name="40% - Ênfase4" xfId="2" builtinId="43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B88900"/>
      <color rgb="FFFFDE21"/>
      <color rgb="FFFFE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38099</xdr:rowOff>
    </xdr:from>
    <xdr:to>
      <xdr:col>3</xdr:col>
      <xdr:colOff>1038225</xdr:colOff>
      <xdr:row>11</xdr:row>
      <xdr:rowOff>161924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71BE6F-ABB2-2134-174F-927D24F13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38099"/>
          <a:ext cx="8791575" cy="22193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FF90-8FAF-4117-8A43-DA24158154DF}">
  <dimension ref="A13:G76"/>
  <sheetViews>
    <sheetView showGridLines="0" tabSelected="1" zoomScaleNormal="100" workbookViewId="0">
      <selection activeCell="C49" sqref="C49"/>
    </sheetView>
  </sheetViews>
  <sheetFormatPr defaultColWidth="0" defaultRowHeight="15" x14ac:dyDescent="0.25"/>
  <cols>
    <col min="1" max="1" width="9.140625" customWidth="1"/>
    <col min="2" max="3" width="58" customWidth="1"/>
    <col min="4" max="4" width="15.85546875" customWidth="1"/>
    <col min="5" max="5" width="5.140625" customWidth="1"/>
    <col min="6" max="6" width="18.42578125" hidden="1" customWidth="1"/>
    <col min="7" max="7" width="2.5703125" customWidth="1"/>
    <col min="8" max="9" width="9.140625" hidden="1" customWidth="1"/>
    <col min="10" max="16384" width="9.140625" hidden="1"/>
  </cols>
  <sheetData>
    <row r="13" spans="2:4" ht="15.75" thickBot="1" x14ac:dyDescent="0.3"/>
    <row r="14" spans="2:4" ht="39" customHeight="1" x14ac:dyDescent="0.25">
      <c r="B14" s="39" t="s">
        <v>13</v>
      </c>
      <c r="C14" s="40"/>
      <c r="D14" s="14"/>
    </row>
    <row r="15" spans="2:4" ht="16.5" thickBot="1" x14ac:dyDescent="0.3">
      <c r="B15" s="16" t="s">
        <v>14</v>
      </c>
      <c r="C15" s="17"/>
      <c r="D15" s="33">
        <v>2000</v>
      </c>
    </row>
    <row r="16" spans="2:4" ht="16.5" thickBot="1" x14ac:dyDescent="0.3">
      <c r="B16" s="18" t="s">
        <v>15</v>
      </c>
      <c r="C16" s="19"/>
      <c r="D16" s="34">
        <v>6.0000000000000001E-3</v>
      </c>
    </row>
    <row r="17" spans="1:7" ht="16.5" thickBot="1" x14ac:dyDescent="0.3">
      <c r="B17" s="20" t="s">
        <v>16</v>
      </c>
      <c r="C17" s="21"/>
      <c r="D17" s="35">
        <f>D15*30%</f>
        <v>600</v>
      </c>
    </row>
    <row r="18" spans="1:7" ht="15.75" thickBot="1" x14ac:dyDescent="0.3"/>
    <row r="19" spans="1:7" ht="40.5" customHeight="1" thickBot="1" x14ac:dyDescent="0.3">
      <c r="B19" s="41" t="s">
        <v>0</v>
      </c>
      <c r="C19" s="42"/>
      <c r="D19" s="15"/>
      <c r="G19" s="11"/>
    </row>
    <row r="20" spans="1:7" ht="16.5" thickBot="1" x14ac:dyDescent="0.3">
      <c r="B20" s="22" t="s">
        <v>5</v>
      </c>
      <c r="C20" s="23"/>
      <c r="D20" s="3">
        <v>200</v>
      </c>
    </row>
    <row r="21" spans="1:7" ht="16.5" thickBot="1" x14ac:dyDescent="0.3">
      <c r="B21" s="24" t="s">
        <v>4</v>
      </c>
      <c r="C21" s="25"/>
      <c r="D21" s="1">
        <v>5</v>
      </c>
    </row>
    <row r="22" spans="1:7" ht="16.5" thickBot="1" x14ac:dyDescent="0.3">
      <c r="B22" s="24" t="s">
        <v>1</v>
      </c>
      <c r="C22" s="25"/>
      <c r="D22" s="2">
        <v>1.0789999999999999E-2</v>
      </c>
    </row>
    <row r="23" spans="1:7" ht="16.5" thickBot="1" x14ac:dyDescent="0.3">
      <c r="B23" s="26" t="s">
        <v>2</v>
      </c>
      <c r="C23" s="27"/>
      <c r="D23" s="4">
        <f>FV(taxa_mensal,periodo*12,aporte*-1)</f>
        <v>16755.382799697527</v>
      </c>
    </row>
    <row r="24" spans="1:7" ht="16.5" thickBot="1" x14ac:dyDescent="0.3">
      <c r="B24" s="28" t="s">
        <v>3</v>
      </c>
      <c r="C24" s="29"/>
      <c r="D24" s="5">
        <f>patrimonio*$D$16</f>
        <v>100.53229679818516</v>
      </c>
    </row>
    <row r="25" spans="1:7" ht="15.75" thickBot="1" x14ac:dyDescent="0.3"/>
    <row r="26" spans="1:7" ht="40.5" customHeight="1" thickBot="1" x14ac:dyDescent="0.3">
      <c r="B26" s="43" t="s">
        <v>7</v>
      </c>
      <c r="C26" s="44"/>
      <c r="D26" s="7" t="s">
        <v>12</v>
      </c>
      <c r="E26" s="6"/>
    </row>
    <row r="27" spans="1:7" ht="16.5" thickBot="1" x14ac:dyDescent="0.3">
      <c r="A27" s="10">
        <v>2</v>
      </c>
      <c r="B27" s="30" t="s">
        <v>6</v>
      </c>
      <c r="C27" s="36">
        <f>FV($D$22,$A27*12,$D$20*-1)</f>
        <v>5445.5254595290435</v>
      </c>
      <c r="D27" s="12">
        <f>C27*rendimento_carteira</f>
        <v>32.673152757174265</v>
      </c>
      <c r="E27" s="8"/>
    </row>
    <row r="28" spans="1:7" ht="16.5" thickBot="1" x14ac:dyDescent="0.3">
      <c r="A28" s="10">
        <v>5</v>
      </c>
      <c r="B28" s="31" t="s">
        <v>8</v>
      </c>
      <c r="C28" s="37">
        <f>FV($D$22,$A28*12,$D$20*-1)</f>
        <v>16755.382799697527</v>
      </c>
      <c r="D28" s="12">
        <f>C28*rendimento_carteira</f>
        <v>100.53229679818516</v>
      </c>
      <c r="E28" s="8"/>
    </row>
    <row r="29" spans="1:7" ht="16.5" thickBot="1" x14ac:dyDescent="0.3">
      <c r="A29" s="10">
        <v>10</v>
      </c>
      <c r="B29" s="31" t="s">
        <v>9</v>
      </c>
      <c r="C29" s="37">
        <f>FV($D$22,$A29*12,$D$20*-1)</f>
        <v>48656.842506034438</v>
      </c>
      <c r="D29" s="12">
        <f>C29*rendimento_carteira</f>
        <v>291.94105503620665</v>
      </c>
    </row>
    <row r="30" spans="1:7" ht="16.5" thickBot="1" x14ac:dyDescent="0.3">
      <c r="A30" s="10">
        <v>20</v>
      </c>
      <c r="B30" s="31" t="s">
        <v>10</v>
      </c>
      <c r="C30" s="37">
        <f>FV($D$22,$A30*12,$D$20*-1)</f>
        <v>225039.68001941612</v>
      </c>
      <c r="D30" s="12">
        <f>C30*rendimento_carteira</f>
        <v>1350.2380801164968</v>
      </c>
    </row>
    <row r="31" spans="1:7" ht="16.5" thickBot="1" x14ac:dyDescent="0.3">
      <c r="A31" s="10">
        <v>30</v>
      </c>
      <c r="B31" s="32" t="s">
        <v>11</v>
      </c>
      <c r="C31" s="38">
        <f>FV($D$22,$A31*12,$D$20*-1)</f>
        <v>864433.93100094295</v>
      </c>
      <c r="D31" s="13">
        <f>C31*rendimento_carteira</f>
        <v>5186.6035860056581</v>
      </c>
    </row>
    <row r="32" spans="1:7" ht="15.75" thickBot="1" x14ac:dyDescent="0.3">
      <c r="D32" s="9"/>
    </row>
    <row r="33" spans="1:4" s="59" customFormat="1" ht="40.5" customHeight="1" x14ac:dyDescent="0.25">
      <c r="B33" s="60" t="s">
        <v>17</v>
      </c>
      <c r="C33" s="61" t="s">
        <v>18</v>
      </c>
      <c r="D33" s="62"/>
    </row>
    <row r="34" spans="1:4" ht="16.5" thickBot="1" x14ac:dyDescent="0.3">
      <c r="B34" s="50" t="s">
        <v>19</v>
      </c>
      <c r="C34" s="51">
        <f>aporte</f>
        <v>200</v>
      </c>
      <c r="D34" s="52"/>
    </row>
    <row r="35" spans="1:4" ht="16.5" thickBot="1" x14ac:dyDescent="0.3">
      <c r="B35" s="47"/>
      <c r="C35" s="47"/>
      <c r="D35" s="47"/>
    </row>
    <row r="36" spans="1:4" s="63" customFormat="1" ht="40.5" customHeight="1" thickBot="1" x14ac:dyDescent="0.3">
      <c r="B36" s="64" t="s">
        <v>20</v>
      </c>
      <c r="C36" s="65" t="s">
        <v>32</v>
      </c>
      <c r="D36" s="53" t="s">
        <v>33</v>
      </c>
    </row>
    <row r="37" spans="1:4" ht="16.5" thickBot="1" x14ac:dyDescent="0.3">
      <c r="B37" s="56" t="s">
        <v>21</v>
      </c>
      <c r="C37" s="57">
        <f>VLOOKUP($C$33&amp;"-"&amp;B37,TAB_APOIO!$A:$D,4,FALSE)</f>
        <v>0.5</v>
      </c>
      <c r="D37" s="58">
        <f>C37*$C$34</f>
        <v>100</v>
      </c>
    </row>
    <row r="38" spans="1:4" ht="16.5" thickBot="1" x14ac:dyDescent="0.3">
      <c r="B38" s="56" t="s">
        <v>22</v>
      </c>
      <c r="C38" s="57">
        <f>VLOOKUP($C$33&amp;"-"&amp;B38,TAB_APOIO!$A:$D,4,FALSE)</f>
        <v>0.1</v>
      </c>
      <c r="D38" s="58">
        <f t="shared" ref="D38:D42" si="0">C38*$C$34</f>
        <v>20</v>
      </c>
    </row>
    <row r="39" spans="1:4" ht="16.5" thickBot="1" x14ac:dyDescent="0.3">
      <c r="B39" s="56" t="s">
        <v>23</v>
      </c>
      <c r="C39" s="57">
        <f>VLOOKUP($C$33&amp;"-"&amp;B39,TAB_APOIO!$A:$D,4,FALSE)</f>
        <v>0.05</v>
      </c>
      <c r="D39" s="58">
        <f t="shared" si="0"/>
        <v>10</v>
      </c>
    </row>
    <row r="40" spans="1:4" ht="16.5" thickBot="1" x14ac:dyDescent="0.3">
      <c r="A40" s="45"/>
      <c r="B40" s="56" t="s">
        <v>24</v>
      </c>
      <c r="C40" s="57">
        <f>VLOOKUP($C$33&amp;"-"&amp;B40,TAB_APOIO!$A:$D,4,FALSE)</f>
        <v>0.05</v>
      </c>
      <c r="D40" s="58">
        <f t="shared" si="0"/>
        <v>10</v>
      </c>
    </row>
    <row r="41" spans="1:4" ht="16.5" thickBot="1" x14ac:dyDescent="0.3">
      <c r="B41" s="56" t="s">
        <v>25</v>
      </c>
      <c r="C41" s="57">
        <f>VLOOKUP($C$33&amp;"-"&amp;B41,TAB_APOIO!$A:$D,4,FALSE)</f>
        <v>0.2</v>
      </c>
      <c r="D41" s="58">
        <f t="shared" si="0"/>
        <v>40</v>
      </c>
    </row>
    <row r="42" spans="1:4" ht="16.5" thickBot="1" x14ac:dyDescent="0.3">
      <c r="B42" s="56" t="s">
        <v>26</v>
      </c>
      <c r="C42" s="57">
        <f>VLOOKUP($C$33&amp;"-"&amp;B42,TAB_APOIO!$A:$D,4,FALSE)</f>
        <v>0.1</v>
      </c>
      <c r="D42" s="58">
        <f t="shared" si="0"/>
        <v>20</v>
      </c>
    </row>
    <row r="43" spans="1:4" ht="16.5" thickBot="1" x14ac:dyDescent="0.3">
      <c r="B43" s="54"/>
      <c r="C43" s="55"/>
      <c r="D43" s="66">
        <f>SUM(D37:D42)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</sheetData>
  <mergeCells count="13">
    <mergeCell ref="C34:D34"/>
    <mergeCell ref="B15:C15"/>
    <mergeCell ref="B16:C16"/>
    <mergeCell ref="B17:C17"/>
    <mergeCell ref="B14:C14"/>
    <mergeCell ref="C33:D33"/>
    <mergeCell ref="B19:C19"/>
    <mergeCell ref="B26:C26"/>
    <mergeCell ref="B20:C20"/>
    <mergeCell ref="B21:C21"/>
    <mergeCell ref="B22:C22"/>
    <mergeCell ref="B23:C23"/>
    <mergeCell ref="B24:C24"/>
  </mergeCells>
  <dataValidations count="1">
    <dataValidation type="list" allowBlank="1" showInputMessage="1" showErrorMessage="1" sqref="C33" xr:uid="{33A07441-E14B-4EFC-9984-148526B4636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2EBA-F72F-4907-8912-7EFA14AE536B}">
  <dimension ref="A2:D21"/>
  <sheetViews>
    <sheetView showGridLines="0" workbookViewId="0">
      <selection activeCell="B1" sqref="B1"/>
    </sheetView>
  </sheetViews>
  <sheetFormatPr defaultRowHeight="15" x14ac:dyDescent="0.25"/>
  <cols>
    <col min="1" max="1" width="28.42578125" bestFit="1" customWidth="1"/>
    <col min="2" max="2" width="14.42578125" bestFit="1" customWidth="1"/>
    <col min="3" max="3" width="17.42578125" bestFit="1" customWidth="1"/>
    <col min="4" max="4" width="9.140625" style="46"/>
  </cols>
  <sheetData>
    <row r="2" spans="1:4" ht="15.75" thickBot="1" x14ac:dyDescent="0.3"/>
    <row r="3" spans="1:4" x14ac:dyDescent="0.25">
      <c r="A3" s="67" t="s">
        <v>29</v>
      </c>
      <c r="B3" s="68" t="s">
        <v>17</v>
      </c>
      <c r="C3" s="68" t="s">
        <v>20</v>
      </c>
      <c r="D3" s="69" t="s">
        <v>28</v>
      </c>
    </row>
    <row r="4" spans="1:4" ht="15.75" x14ac:dyDescent="0.25">
      <c r="A4" s="70" t="str">
        <f>B4&amp;"-"&amp;C4</f>
        <v>Conservador-Papel</v>
      </c>
      <c r="B4" s="71" t="s">
        <v>27</v>
      </c>
      <c r="C4" s="72" t="s">
        <v>21</v>
      </c>
      <c r="D4" s="73">
        <v>0.3</v>
      </c>
    </row>
    <row r="5" spans="1:4" ht="15.75" x14ac:dyDescent="0.25">
      <c r="A5" s="70" t="str">
        <f t="shared" ref="A5:A21" si="0">B5&amp;"-"&amp;C5</f>
        <v>Conservador-Tijolo</v>
      </c>
      <c r="B5" s="71" t="s">
        <v>27</v>
      </c>
      <c r="C5" s="72" t="s">
        <v>22</v>
      </c>
      <c r="D5" s="73">
        <v>0.5</v>
      </c>
    </row>
    <row r="6" spans="1:4" ht="15.75" x14ac:dyDescent="0.25">
      <c r="A6" s="70" t="str">
        <f t="shared" si="0"/>
        <v>Conservador-Hibridos</v>
      </c>
      <c r="B6" s="71" t="s">
        <v>27</v>
      </c>
      <c r="C6" s="72" t="s">
        <v>23</v>
      </c>
      <c r="D6" s="73">
        <v>0.1</v>
      </c>
    </row>
    <row r="7" spans="1:4" ht="15.75" x14ac:dyDescent="0.25">
      <c r="A7" s="70" t="str">
        <f t="shared" si="0"/>
        <v>Conservador-FOFs</v>
      </c>
      <c r="B7" s="71" t="s">
        <v>27</v>
      </c>
      <c r="C7" s="72" t="s">
        <v>24</v>
      </c>
      <c r="D7" s="73">
        <v>0.1</v>
      </c>
    </row>
    <row r="8" spans="1:4" ht="15.75" x14ac:dyDescent="0.25">
      <c r="A8" s="70" t="str">
        <f t="shared" si="0"/>
        <v>Conservador-Desenvolvimento</v>
      </c>
      <c r="B8" s="71" t="s">
        <v>27</v>
      </c>
      <c r="C8" s="72" t="s">
        <v>25</v>
      </c>
      <c r="D8" s="73">
        <v>0</v>
      </c>
    </row>
    <row r="9" spans="1:4" ht="16.5" thickBot="1" x14ac:dyDescent="0.3">
      <c r="A9" s="74" t="str">
        <f t="shared" si="0"/>
        <v>Conservador-Hotelarias</v>
      </c>
      <c r="B9" s="48" t="s">
        <v>27</v>
      </c>
      <c r="C9" s="49" t="s">
        <v>26</v>
      </c>
      <c r="D9" s="75">
        <v>0</v>
      </c>
    </row>
    <row r="10" spans="1:4" ht="15.75" x14ac:dyDescent="0.25">
      <c r="A10" s="70" t="str">
        <f t="shared" si="0"/>
        <v>Moderado-Papel</v>
      </c>
      <c r="B10" s="71" t="s">
        <v>30</v>
      </c>
      <c r="C10" s="72" t="s">
        <v>21</v>
      </c>
      <c r="D10" s="73">
        <v>0.32</v>
      </c>
    </row>
    <row r="11" spans="1:4" ht="15.75" x14ac:dyDescent="0.25">
      <c r="A11" s="70" t="str">
        <f t="shared" si="0"/>
        <v>Moderado-Tijolo</v>
      </c>
      <c r="B11" s="71" t="s">
        <v>30</v>
      </c>
      <c r="C11" s="72" t="s">
        <v>22</v>
      </c>
      <c r="D11" s="76">
        <v>0.3</v>
      </c>
    </row>
    <row r="12" spans="1:4" ht="15.75" x14ac:dyDescent="0.25">
      <c r="A12" s="70" t="str">
        <f t="shared" si="0"/>
        <v>Moderado-Hibridos</v>
      </c>
      <c r="B12" s="71" t="s">
        <v>30</v>
      </c>
      <c r="C12" s="72" t="s">
        <v>23</v>
      </c>
      <c r="D12" s="73">
        <v>0.08</v>
      </c>
    </row>
    <row r="13" spans="1:4" ht="15.75" x14ac:dyDescent="0.25">
      <c r="A13" s="70" t="str">
        <f t="shared" si="0"/>
        <v>Moderado-FOFs</v>
      </c>
      <c r="B13" s="71" t="s">
        <v>30</v>
      </c>
      <c r="C13" s="72" t="s">
        <v>24</v>
      </c>
      <c r="D13" s="73">
        <v>0.1</v>
      </c>
    </row>
    <row r="14" spans="1:4" ht="15.75" x14ac:dyDescent="0.25">
      <c r="A14" s="70" t="str">
        <f t="shared" si="0"/>
        <v>Moderado-Desenvolvimento</v>
      </c>
      <c r="B14" s="71" t="s">
        <v>30</v>
      </c>
      <c r="C14" s="72" t="s">
        <v>25</v>
      </c>
      <c r="D14" s="73">
        <v>0.1</v>
      </c>
    </row>
    <row r="15" spans="1:4" ht="16.5" thickBot="1" x14ac:dyDescent="0.3">
      <c r="A15" s="74" t="str">
        <f t="shared" si="0"/>
        <v>Moderado-Hotelarias</v>
      </c>
      <c r="B15" s="48" t="s">
        <v>30</v>
      </c>
      <c r="C15" s="49" t="s">
        <v>26</v>
      </c>
      <c r="D15" s="75">
        <v>0.1</v>
      </c>
    </row>
    <row r="16" spans="1:4" ht="15.75" x14ac:dyDescent="0.25">
      <c r="A16" s="70" t="str">
        <f t="shared" si="0"/>
        <v>Agressivo-Papel</v>
      </c>
      <c r="B16" s="71" t="s">
        <v>31</v>
      </c>
      <c r="C16" s="72" t="s">
        <v>21</v>
      </c>
      <c r="D16" s="77">
        <v>0.5</v>
      </c>
    </row>
    <row r="17" spans="1:4" ht="15.75" x14ac:dyDescent="0.25">
      <c r="A17" s="70" t="str">
        <f t="shared" si="0"/>
        <v>Agressivo-Tijolo</v>
      </c>
      <c r="B17" s="71" t="s">
        <v>31</v>
      </c>
      <c r="C17" s="72" t="s">
        <v>22</v>
      </c>
      <c r="D17" s="77">
        <v>0.1</v>
      </c>
    </row>
    <row r="18" spans="1:4" ht="15.75" x14ac:dyDescent="0.25">
      <c r="A18" s="70" t="str">
        <f t="shared" si="0"/>
        <v>Agressivo-Hibridos</v>
      </c>
      <c r="B18" s="71" t="s">
        <v>31</v>
      </c>
      <c r="C18" s="72" t="s">
        <v>23</v>
      </c>
      <c r="D18" s="77">
        <v>0.05</v>
      </c>
    </row>
    <row r="19" spans="1:4" ht="15.75" x14ac:dyDescent="0.25">
      <c r="A19" s="70" t="str">
        <f t="shared" si="0"/>
        <v>Agressivo-FOFs</v>
      </c>
      <c r="B19" s="71" t="s">
        <v>31</v>
      </c>
      <c r="C19" s="72" t="s">
        <v>24</v>
      </c>
      <c r="D19" s="77">
        <v>0.05</v>
      </c>
    </row>
    <row r="20" spans="1:4" ht="15.75" x14ac:dyDescent="0.25">
      <c r="A20" s="70" t="str">
        <f t="shared" si="0"/>
        <v>Agressivo-Desenvolvimento</v>
      </c>
      <c r="B20" s="71" t="s">
        <v>31</v>
      </c>
      <c r="C20" s="72" t="s">
        <v>25</v>
      </c>
      <c r="D20" s="76">
        <v>0.2</v>
      </c>
    </row>
    <row r="21" spans="1:4" ht="16.5" thickBot="1" x14ac:dyDescent="0.3">
      <c r="A21" s="74" t="str">
        <f t="shared" si="0"/>
        <v>Agressivo-Hotelarias</v>
      </c>
      <c r="B21" s="48" t="s">
        <v>31</v>
      </c>
      <c r="C21" s="49" t="s">
        <v>26</v>
      </c>
      <c r="D21" s="7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DIO_FINANCE</vt:lpstr>
      <vt:lpstr>TAB_APOIO</vt:lpstr>
      <vt:lpstr>aporte</vt:lpstr>
      <vt:lpstr>patrimonio</vt:lpstr>
      <vt:lpstr>periodo</vt:lpstr>
      <vt:lpstr>rendimento_carteira</vt:lpstr>
      <vt:lpstr>salario</vt:lpstr>
      <vt:lpstr>sugest_invest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Biia Luísa</dc:creator>
  <cp:lastModifiedBy>Biia Luísa</cp:lastModifiedBy>
  <dcterms:created xsi:type="dcterms:W3CDTF">2026-09-20T22:22:59Z</dcterms:created>
  <dcterms:modified xsi:type="dcterms:W3CDTF">2026-09-22T01:24:03Z</dcterms:modified>
</cp:coreProperties>
</file>